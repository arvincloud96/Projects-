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d\Documents\Excel practice file\"/>
    </mc:Choice>
  </mc:AlternateContent>
  <xr:revisionPtr revIDLastSave="0" documentId="13_ncr:1_{90F1B970-BC6F-470D-981A-E97B811D7451}" xr6:coauthVersionLast="45" xr6:coauthVersionMax="45" xr10:uidLastSave="{00000000-0000-0000-0000-000000000000}"/>
  <bookViews>
    <workbookView xWindow="-120" yWindow="-120" windowWidth="20730" windowHeight="11160" xr2:uid="{660A8C0E-E128-411F-B5E4-157798FF86EE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1" i="1" l="1"/>
  <c r="D21" i="1"/>
  <c r="AM6" i="1"/>
  <c r="AM7" i="1"/>
  <c r="AM8" i="1"/>
  <c r="AM9" i="1"/>
  <c r="AM10" i="1"/>
  <c r="AM11" i="1"/>
  <c r="AM12" i="1"/>
  <c r="AM13" i="1"/>
  <c r="AM14" i="1"/>
  <c r="AM15" i="1"/>
  <c r="AM16" i="1"/>
  <c r="AM5" i="1"/>
  <c r="AL6" i="1"/>
  <c r="AL7" i="1"/>
  <c r="AL8" i="1"/>
  <c r="AL9" i="1"/>
  <c r="AL10" i="1"/>
  <c r="AL11" i="1"/>
  <c r="AL12" i="1"/>
  <c r="AL13" i="1"/>
  <c r="AL14" i="1"/>
  <c r="AL15" i="1"/>
  <c r="AL16" i="1"/>
  <c r="AK6" i="1"/>
  <c r="AK7" i="1"/>
  <c r="AK8" i="1"/>
  <c r="AK9" i="1"/>
  <c r="AK10" i="1"/>
  <c r="AK11" i="1"/>
  <c r="AK12" i="1"/>
  <c r="AK13" i="1"/>
  <c r="AK14" i="1"/>
  <c r="AK15" i="1"/>
  <c r="AK16" i="1"/>
  <c r="AL5" i="1"/>
  <c r="AK5" i="1"/>
  <c r="AJ6" i="1"/>
  <c r="AJ7" i="1"/>
  <c r="AJ8" i="1"/>
  <c r="AJ9" i="1"/>
  <c r="AJ10" i="1"/>
  <c r="AJ11" i="1"/>
  <c r="AJ12" i="1"/>
  <c r="AJ13" i="1"/>
  <c r="AJ14" i="1"/>
  <c r="AJ15" i="1"/>
  <c r="AJ16" i="1"/>
  <c r="AN16" i="1" s="1"/>
  <c r="AO16" i="1" s="1"/>
  <c r="AP16" i="1" s="1"/>
  <c r="AJ5" i="1"/>
  <c r="AG6" i="1"/>
  <c r="AG7" i="1"/>
  <c r="AG8" i="1"/>
  <c r="AG9" i="1"/>
  <c r="AG10" i="1"/>
  <c r="AG11" i="1"/>
  <c r="AG12" i="1"/>
  <c r="AG13" i="1"/>
  <c r="AG14" i="1"/>
  <c r="AG15" i="1"/>
  <c r="AG16" i="1"/>
  <c r="AF6" i="1"/>
  <c r="AF7" i="1"/>
  <c r="AH7" i="1" s="1"/>
  <c r="AF8" i="1"/>
  <c r="AH8" i="1" s="1"/>
  <c r="AF9" i="1"/>
  <c r="AF10" i="1"/>
  <c r="AF11" i="1"/>
  <c r="AH11" i="1" s="1"/>
  <c r="AF12" i="1"/>
  <c r="AH12" i="1" s="1"/>
  <c r="AF13" i="1"/>
  <c r="AF14" i="1"/>
  <c r="AF15" i="1"/>
  <c r="AH15" i="1" s="1"/>
  <c r="AF16" i="1"/>
  <c r="AH16" i="1" s="1"/>
  <c r="AG5" i="1"/>
  <c r="AF5" i="1"/>
  <c r="AH5" i="1" s="1"/>
  <c r="AE6" i="1"/>
  <c r="AE7" i="1"/>
  <c r="AE8" i="1"/>
  <c r="AE9" i="1"/>
  <c r="AE10" i="1"/>
  <c r="AE11" i="1"/>
  <c r="AE12" i="1"/>
  <c r="AE13" i="1"/>
  <c r="AE14" i="1"/>
  <c r="AE15" i="1"/>
  <c r="AE16" i="1"/>
  <c r="AE5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N14" i="1" l="1"/>
  <c r="AO14" i="1" s="1"/>
  <c r="AP14" i="1" s="1"/>
  <c r="AN10" i="1"/>
  <c r="AO10" i="1" s="1"/>
  <c r="AP10" i="1" s="1"/>
  <c r="AQ10" i="1" s="1"/>
  <c r="AN6" i="1"/>
  <c r="AO6" i="1" s="1"/>
  <c r="AH14" i="1"/>
  <c r="AH10" i="1"/>
  <c r="AH6" i="1"/>
  <c r="AH13" i="1"/>
  <c r="AH9" i="1"/>
  <c r="AN5" i="1"/>
  <c r="AO5" i="1" s="1"/>
  <c r="AP5" i="1" s="1"/>
  <c r="AQ5" i="1" s="1"/>
  <c r="AN13" i="1"/>
  <c r="AO13" i="1" s="1"/>
  <c r="AP13" i="1" s="1"/>
  <c r="AR13" i="1" s="1"/>
  <c r="AN9" i="1"/>
  <c r="AO9" i="1" s="1"/>
  <c r="AN12" i="1"/>
  <c r="AO12" i="1" s="1"/>
  <c r="AP12" i="1" s="1"/>
  <c r="AR12" i="1" s="1"/>
  <c r="AN8" i="1"/>
  <c r="AO8" i="1" s="1"/>
  <c r="AP8" i="1" s="1"/>
  <c r="AR8" i="1" s="1"/>
  <c r="AN15" i="1"/>
  <c r="AO15" i="1" s="1"/>
  <c r="AP15" i="1" s="1"/>
  <c r="AQ15" i="1" s="1"/>
  <c r="AN11" i="1"/>
  <c r="AO11" i="1" s="1"/>
  <c r="AP11" i="1" s="1"/>
  <c r="AQ11" i="1" s="1"/>
  <c r="AN7" i="1"/>
  <c r="AO7" i="1" s="1"/>
  <c r="AP7" i="1" s="1"/>
  <c r="AR7" i="1" s="1"/>
  <c r="AR11" i="1"/>
  <c r="AQ14" i="1"/>
  <c r="AR14" i="1"/>
  <c r="AQ8" i="1"/>
  <c r="AQ7" i="1"/>
  <c r="AR5" i="1"/>
  <c r="AQ16" i="1"/>
  <c r="AR16" i="1"/>
  <c r="AQ12" i="1" l="1"/>
  <c r="AS12" i="1" s="1"/>
  <c r="AS5" i="1"/>
  <c r="F21" i="1" s="1"/>
  <c r="AS8" i="1"/>
  <c r="AS15" i="1"/>
  <c r="AS7" i="1"/>
  <c r="AR15" i="1"/>
  <c r="AS10" i="1"/>
  <c r="AS14" i="1"/>
  <c r="AQ13" i="1"/>
  <c r="AS13" i="1" s="1"/>
  <c r="AR10" i="1"/>
  <c r="AS16" i="1"/>
  <c r="AS11" i="1"/>
  <c r="AP9" i="1"/>
  <c r="AP6" i="1"/>
  <c r="AR6" i="1" l="1"/>
  <c r="AS6" i="1"/>
  <c r="AQ6" i="1"/>
  <c r="AR9" i="1"/>
  <c r="AQ9" i="1"/>
  <c r="AS9" i="1" s="1"/>
</calcChain>
</file>

<file path=xl/sharedStrings.xml><?xml version="1.0" encoding="utf-8"?>
<sst xmlns="http://schemas.openxmlformats.org/spreadsheetml/2006/main" count="378" uniqueCount="53">
  <si>
    <t>Emp. ID</t>
  </si>
  <si>
    <t>Name</t>
  </si>
  <si>
    <t xml:space="preserve"> Post</t>
  </si>
  <si>
    <t>Absence</t>
  </si>
  <si>
    <t>Presence</t>
  </si>
  <si>
    <t>Holiday</t>
  </si>
  <si>
    <t>Basic Salary</t>
  </si>
  <si>
    <t>One Day Salary</t>
  </si>
  <si>
    <t>Salary on Attendence</t>
  </si>
  <si>
    <t>PF 12%</t>
  </si>
  <si>
    <t>ESI 1.75%</t>
  </si>
  <si>
    <t>DA</t>
  </si>
  <si>
    <t>HRA</t>
  </si>
  <si>
    <t>TA</t>
  </si>
  <si>
    <t>BONUS</t>
  </si>
  <si>
    <t>AK001</t>
  </si>
  <si>
    <t>Aman</t>
  </si>
  <si>
    <t>Manager</t>
  </si>
  <si>
    <t>H</t>
  </si>
  <si>
    <t>P</t>
  </si>
  <si>
    <t>A</t>
  </si>
  <si>
    <t>AK002</t>
  </si>
  <si>
    <t>Raghav</t>
  </si>
  <si>
    <t>Ass. Man.</t>
  </si>
  <si>
    <t>AK003</t>
  </si>
  <si>
    <t>Sunita</t>
  </si>
  <si>
    <t>Worker</t>
  </si>
  <si>
    <t>AK004</t>
  </si>
  <si>
    <t>Susma</t>
  </si>
  <si>
    <t>AK005</t>
  </si>
  <si>
    <t>Ramesh</t>
  </si>
  <si>
    <t>Peon</t>
  </si>
  <si>
    <t>AK006</t>
  </si>
  <si>
    <t>Mohan</t>
  </si>
  <si>
    <t>AK007</t>
  </si>
  <si>
    <t>Karan</t>
  </si>
  <si>
    <t>Clerk</t>
  </si>
  <si>
    <t>AK008</t>
  </si>
  <si>
    <t>Pooja</t>
  </si>
  <si>
    <t>Supervisor</t>
  </si>
  <si>
    <t>AK009</t>
  </si>
  <si>
    <t>Sita</t>
  </si>
  <si>
    <t>Staff</t>
  </si>
  <si>
    <t>AK010</t>
  </si>
  <si>
    <t>Helper</t>
  </si>
  <si>
    <t>AK011</t>
  </si>
  <si>
    <t>AK012</t>
  </si>
  <si>
    <t>PF</t>
  </si>
  <si>
    <t>TDS</t>
  </si>
  <si>
    <t>Gross Salary</t>
  </si>
  <si>
    <t>Total Working Days</t>
  </si>
  <si>
    <t>In Hand Salary</t>
  </si>
  <si>
    <t>Employee Details By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</si>
</sst>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9]d\-mmm;@"/>
  </numFmts>
  <fonts count="4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6" fontId="2" fillId="10" borderId="2" xfId="0" applyNumberFormat="1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6" fontId="0" fillId="11" borderId="2" xfId="0" applyNumberForma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12" borderId="5" xfId="0" applyFont="1" applyFill="1" applyBorder="1"/>
    <xf numFmtId="0" fontId="2" fillId="2" borderId="0" xfId="0" applyFont="1" applyFill="1"/>
    <xf numFmtId="6" fontId="2" fillId="2" borderId="0" xfId="0" applyNumberFormat="1" applyFont="1" applyFill="1"/>
    <xf numFmtId="0" fontId="2" fillId="12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9" fontId="0" fillId="0" borderId="2" xfId="0" applyNumberForma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vind/AppData/Roaming/Microsoft/Excel/employee%20salary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lary slip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CF10-2820-41C6-8662-E3B1184EBC41}">
  <sheetPr>
    <pageSetUpPr fitToPage="1"/>
  </sheetPr>
  <dimension ref="B3:AS21"/>
  <sheetViews>
    <sheetView showGridLines="0" tabSelected="1" zoomScale="90" zoomScaleNormal="90" workbookViewId="0">
      <selection activeCell="AK22" sqref="AK22"/>
    </sheetView>
  </sheetViews>
  <sheetFormatPr defaultRowHeight="15" x14ac:dyDescent="0.25"/>
  <cols>
    <col min="4" max="4" width="11.140625" customWidth="1"/>
    <col min="5" max="5" width="10.5703125" customWidth="1"/>
    <col min="6" max="6" width="10.85546875" customWidth="1"/>
    <col min="8" max="10" width="6" bestFit="1" customWidth="1"/>
    <col min="11" max="30" width="7.140625" bestFit="1" customWidth="1"/>
    <col min="35" max="35" width="11.7109375" bestFit="1" customWidth="1"/>
    <col min="36" max="39" width="9.7109375" bestFit="1" customWidth="1"/>
    <col min="40" max="40" width="10.7109375" bestFit="1" customWidth="1"/>
    <col min="41" max="41" width="9.7109375" bestFit="1" customWidth="1"/>
    <col min="42" max="42" width="11.42578125" customWidth="1"/>
    <col min="43" max="43" width="9.7109375" bestFit="1" customWidth="1"/>
    <col min="44" max="44" width="9.28515625" bestFit="1" customWidth="1"/>
    <col min="45" max="45" width="10.7109375" bestFit="1" customWidth="1"/>
  </cols>
  <sheetData>
    <row r="3" spans="2:45" ht="15" customHeight="1" x14ac:dyDescent="0.25">
      <c r="B3" s="15" t="s">
        <v>0</v>
      </c>
      <c r="C3" s="15" t="s">
        <v>1</v>
      </c>
      <c r="D3" s="15" t="s">
        <v>2</v>
      </c>
      <c r="E3" s="23">
        <v>45326</v>
      </c>
      <c r="F3" s="23">
        <v>45327</v>
      </c>
      <c r="G3" s="23">
        <v>45328</v>
      </c>
      <c r="H3" s="23">
        <v>45329</v>
      </c>
      <c r="I3" s="23">
        <v>45330</v>
      </c>
      <c r="J3" s="23">
        <v>45331</v>
      </c>
      <c r="K3" s="23">
        <v>45332</v>
      </c>
      <c r="L3" s="23">
        <v>45333</v>
      </c>
      <c r="M3" s="23">
        <v>45334</v>
      </c>
      <c r="N3" s="23">
        <v>45335</v>
      </c>
      <c r="O3" s="23">
        <v>45336</v>
      </c>
      <c r="P3" s="23">
        <v>45337</v>
      </c>
      <c r="Q3" s="23">
        <v>45338</v>
      </c>
      <c r="R3" s="23">
        <v>45339</v>
      </c>
      <c r="S3" s="23">
        <v>45340</v>
      </c>
      <c r="T3" s="23">
        <v>45341</v>
      </c>
      <c r="U3" s="23">
        <v>45342</v>
      </c>
      <c r="V3" s="23">
        <v>45343</v>
      </c>
      <c r="W3" s="23">
        <v>45344</v>
      </c>
      <c r="X3" s="23">
        <v>45345</v>
      </c>
      <c r="Y3" s="23">
        <v>45346</v>
      </c>
      <c r="Z3" s="23">
        <v>45347</v>
      </c>
      <c r="AA3" s="23">
        <v>45348</v>
      </c>
      <c r="AB3" s="23">
        <v>45349</v>
      </c>
      <c r="AC3" s="23">
        <v>45350</v>
      </c>
      <c r="AD3" s="23">
        <v>45351</v>
      </c>
      <c r="AE3" s="2" t="s">
        <v>3</v>
      </c>
      <c r="AF3" s="2" t="s">
        <v>4</v>
      </c>
      <c r="AG3" s="2" t="s">
        <v>5</v>
      </c>
      <c r="AH3" s="3" t="s">
        <v>50</v>
      </c>
      <c r="AI3" s="8" t="s">
        <v>6</v>
      </c>
      <c r="AJ3" s="2" t="s">
        <v>11</v>
      </c>
      <c r="AK3" s="8" t="s">
        <v>12</v>
      </c>
      <c r="AL3" s="8" t="s">
        <v>13</v>
      </c>
      <c r="AM3" s="8" t="s">
        <v>14</v>
      </c>
      <c r="AN3" s="8" t="s">
        <v>49</v>
      </c>
      <c r="AO3" s="8" t="s">
        <v>7</v>
      </c>
      <c r="AP3" s="8" t="s">
        <v>8</v>
      </c>
      <c r="AQ3" s="2" t="s">
        <v>9</v>
      </c>
      <c r="AR3" s="2" t="s">
        <v>10</v>
      </c>
      <c r="AS3" s="8" t="s">
        <v>51</v>
      </c>
    </row>
    <row r="4" spans="2:45" ht="30" customHeight="1" x14ac:dyDescent="0.25">
      <c r="B4" s="16"/>
      <c r="C4" s="16"/>
      <c r="D4" s="16"/>
      <c r="E4" s="24" t="str">
        <f>TEXT(E3,"ddd")</f>
        <v>Sun</v>
      </c>
      <c r="F4" s="24" t="str">
        <f t="shared" ref="F4:AD4" si="0">TEXT(F3,"ddd")</f>
        <v>Mon</v>
      </c>
      <c r="G4" s="24" t="str">
        <f t="shared" si="0"/>
        <v>Tue</v>
      </c>
      <c r="H4" s="24" t="str">
        <f t="shared" si="0"/>
        <v>Wed</v>
      </c>
      <c r="I4" s="24" t="str">
        <f t="shared" si="0"/>
        <v>Thu</v>
      </c>
      <c r="J4" s="24" t="str">
        <f t="shared" si="0"/>
        <v>Fri</v>
      </c>
      <c r="K4" s="24" t="str">
        <f t="shared" si="0"/>
        <v>Sat</v>
      </c>
      <c r="L4" s="24" t="str">
        <f t="shared" si="0"/>
        <v>Sun</v>
      </c>
      <c r="M4" s="24" t="str">
        <f t="shared" si="0"/>
        <v>Mon</v>
      </c>
      <c r="N4" s="24" t="str">
        <f t="shared" si="0"/>
        <v>Tue</v>
      </c>
      <c r="O4" s="24" t="str">
        <f t="shared" si="0"/>
        <v>Wed</v>
      </c>
      <c r="P4" s="24" t="str">
        <f t="shared" si="0"/>
        <v>Thu</v>
      </c>
      <c r="Q4" s="24" t="str">
        <f t="shared" si="0"/>
        <v>Fri</v>
      </c>
      <c r="R4" s="24" t="str">
        <f t="shared" si="0"/>
        <v>Sat</v>
      </c>
      <c r="S4" s="24" t="str">
        <f t="shared" si="0"/>
        <v>Sun</v>
      </c>
      <c r="T4" s="24" t="str">
        <f t="shared" si="0"/>
        <v>Mon</v>
      </c>
      <c r="U4" s="24" t="str">
        <f t="shared" si="0"/>
        <v>Tue</v>
      </c>
      <c r="V4" s="24" t="str">
        <f t="shared" si="0"/>
        <v>Wed</v>
      </c>
      <c r="W4" s="24" t="str">
        <f t="shared" si="0"/>
        <v>Thu</v>
      </c>
      <c r="X4" s="24" t="str">
        <f t="shared" si="0"/>
        <v>Fri</v>
      </c>
      <c r="Y4" s="24" t="str">
        <f t="shared" si="0"/>
        <v>Sat</v>
      </c>
      <c r="Z4" s="24" t="str">
        <f t="shared" si="0"/>
        <v>Sun</v>
      </c>
      <c r="AA4" s="24" t="str">
        <f t="shared" si="0"/>
        <v>Mon</v>
      </c>
      <c r="AB4" s="24" t="str">
        <f t="shared" si="0"/>
        <v>Tue</v>
      </c>
      <c r="AC4" s="24" t="str">
        <f t="shared" si="0"/>
        <v>Wed</v>
      </c>
      <c r="AD4" s="24" t="str">
        <f t="shared" si="0"/>
        <v>Thu</v>
      </c>
      <c r="AE4" s="4"/>
      <c r="AF4" s="4"/>
      <c r="AG4" s="4"/>
      <c r="AH4" s="5"/>
      <c r="AI4" s="9"/>
      <c r="AJ4" s="4"/>
      <c r="AK4" s="9"/>
      <c r="AL4" s="9"/>
      <c r="AM4" s="9"/>
      <c r="AN4" s="9"/>
      <c r="AO4" s="9"/>
      <c r="AP4" s="9"/>
      <c r="AQ4" s="4"/>
      <c r="AR4" s="4"/>
      <c r="AS4" s="9"/>
    </row>
    <row r="5" spans="2:45" ht="15.75" x14ac:dyDescent="0.25">
      <c r="B5" s="13" t="s">
        <v>15</v>
      </c>
      <c r="C5" s="6" t="s">
        <v>16</v>
      </c>
      <c r="D5" s="14" t="s">
        <v>17</v>
      </c>
      <c r="E5" s="22" t="s">
        <v>18</v>
      </c>
      <c r="F5" s="21" t="s">
        <v>19</v>
      </c>
      <c r="G5" s="21" t="s">
        <v>19</v>
      </c>
      <c r="H5" s="21" t="s">
        <v>19</v>
      </c>
      <c r="I5" s="21" t="s">
        <v>20</v>
      </c>
      <c r="J5" s="21" t="s">
        <v>20</v>
      </c>
      <c r="K5" s="21" t="s">
        <v>20</v>
      </c>
      <c r="L5" s="22" t="s">
        <v>18</v>
      </c>
      <c r="M5" s="21" t="s">
        <v>19</v>
      </c>
      <c r="N5" s="21" t="s">
        <v>19</v>
      </c>
      <c r="O5" s="21" t="s">
        <v>19</v>
      </c>
      <c r="P5" s="21" t="s">
        <v>19</v>
      </c>
      <c r="Q5" s="21" t="s">
        <v>19</v>
      </c>
      <c r="R5" s="21" t="s">
        <v>19</v>
      </c>
      <c r="S5" s="22" t="s">
        <v>18</v>
      </c>
      <c r="T5" s="21" t="s">
        <v>19</v>
      </c>
      <c r="U5" s="21" t="s">
        <v>19</v>
      </c>
      <c r="V5" s="21" t="s">
        <v>20</v>
      </c>
      <c r="W5" s="21" t="s">
        <v>19</v>
      </c>
      <c r="X5" s="21" t="s">
        <v>19</v>
      </c>
      <c r="Y5" s="21" t="s">
        <v>19</v>
      </c>
      <c r="Z5" s="22" t="s">
        <v>18</v>
      </c>
      <c r="AA5" s="21" t="s">
        <v>19</v>
      </c>
      <c r="AB5" s="21" t="s">
        <v>19</v>
      </c>
      <c r="AC5" s="21" t="s">
        <v>19</v>
      </c>
      <c r="AD5" s="21" t="s">
        <v>19</v>
      </c>
      <c r="AE5" s="11">
        <f>COUNTIF($E5:$AD5,"A")</f>
        <v>4</v>
      </c>
      <c r="AF5" s="11">
        <f>COUNTIF($E5:$AD5,"P")</f>
        <v>18</v>
      </c>
      <c r="AG5" s="11">
        <f>COUNTIF($E5:$AD5,"H")</f>
        <v>4</v>
      </c>
      <c r="AH5" s="11">
        <f>SUM(AF5:AG5)</f>
        <v>22</v>
      </c>
      <c r="AI5" s="12">
        <v>40000</v>
      </c>
      <c r="AJ5" s="12">
        <f>AI5*$AG$19</f>
        <v>4800</v>
      </c>
      <c r="AK5" s="12">
        <f>AI5*$AG$20</f>
        <v>4400</v>
      </c>
      <c r="AL5" s="12">
        <f>AI5*$AG$21</f>
        <v>3200</v>
      </c>
      <c r="AM5" s="12">
        <f>AI5*$AI$19</f>
        <v>1600</v>
      </c>
      <c r="AN5" s="12">
        <f>SUM(AI5:AM5)</f>
        <v>54000</v>
      </c>
      <c r="AO5" s="12">
        <f>AN5/30</f>
        <v>1800</v>
      </c>
      <c r="AP5" s="12">
        <f>AO5*AH5</f>
        <v>39600</v>
      </c>
      <c r="AQ5" s="12">
        <f>AP5*$AI$20</f>
        <v>4752</v>
      </c>
      <c r="AR5" s="12">
        <f>AP5*1.75%</f>
        <v>693.00000000000011</v>
      </c>
      <c r="AS5" s="10">
        <f>AP5-AQ5-AR5</f>
        <v>34155</v>
      </c>
    </row>
    <row r="6" spans="2:45" ht="15.75" x14ac:dyDescent="0.25">
      <c r="B6" s="13" t="s">
        <v>21</v>
      </c>
      <c r="C6" s="6" t="s">
        <v>22</v>
      </c>
      <c r="D6" s="14" t="s">
        <v>23</v>
      </c>
      <c r="E6" s="22" t="s">
        <v>18</v>
      </c>
      <c r="F6" s="21" t="s">
        <v>19</v>
      </c>
      <c r="G6" s="21" t="s">
        <v>19</v>
      </c>
      <c r="H6" s="21" t="s">
        <v>19</v>
      </c>
      <c r="I6" s="21" t="s">
        <v>19</v>
      </c>
      <c r="J6" s="21" t="s">
        <v>20</v>
      </c>
      <c r="K6" s="21" t="s">
        <v>19</v>
      </c>
      <c r="L6" s="22" t="s">
        <v>18</v>
      </c>
      <c r="M6" s="21" t="s">
        <v>19</v>
      </c>
      <c r="N6" s="21" t="s">
        <v>20</v>
      </c>
      <c r="O6" s="21" t="s">
        <v>19</v>
      </c>
      <c r="P6" s="21" t="s">
        <v>19</v>
      </c>
      <c r="Q6" s="21" t="s">
        <v>19</v>
      </c>
      <c r="R6" s="21" t="s">
        <v>19</v>
      </c>
      <c r="S6" s="22" t="s">
        <v>18</v>
      </c>
      <c r="T6" s="21" t="s">
        <v>19</v>
      </c>
      <c r="U6" s="21" t="s">
        <v>19</v>
      </c>
      <c r="V6" s="21" t="s">
        <v>19</v>
      </c>
      <c r="W6" s="21" t="s">
        <v>19</v>
      </c>
      <c r="X6" s="21" t="s">
        <v>19</v>
      </c>
      <c r="Y6" s="21" t="s">
        <v>19</v>
      </c>
      <c r="Z6" s="22" t="s">
        <v>18</v>
      </c>
      <c r="AA6" s="21" t="s">
        <v>19</v>
      </c>
      <c r="AB6" s="21" t="s">
        <v>19</v>
      </c>
      <c r="AC6" s="21" t="s">
        <v>19</v>
      </c>
      <c r="AD6" s="21" t="s">
        <v>19</v>
      </c>
      <c r="AE6" s="11">
        <f t="shared" ref="AE6:AE16" si="1">COUNTIF($E6:$AD6,"A")</f>
        <v>2</v>
      </c>
      <c r="AF6" s="11">
        <f t="shared" ref="AF6:AF16" si="2">COUNTIF($E6:$AD6,"P")</f>
        <v>20</v>
      </c>
      <c r="AG6" s="11">
        <f t="shared" ref="AG6:AG16" si="3">COUNTIF($E6:$AD6,"H")</f>
        <v>4</v>
      </c>
      <c r="AH6" s="11">
        <f t="shared" ref="AH6:AH16" si="4">SUM(AF6:AG6)</f>
        <v>24</v>
      </c>
      <c r="AI6" s="12">
        <v>35000</v>
      </c>
      <c r="AJ6" s="12">
        <f t="shared" ref="AJ6:AJ16" si="5">AI6*$AG$19</f>
        <v>4200</v>
      </c>
      <c r="AK6" s="12">
        <f t="shared" ref="AK6:AK16" si="6">AI6*$AG$20</f>
        <v>3850</v>
      </c>
      <c r="AL6" s="12">
        <f t="shared" ref="AL6:AL16" si="7">AI6*$AG$21</f>
        <v>2800</v>
      </c>
      <c r="AM6" s="12">
        <f>AI6*$AI$19</f>
        <v>1400</v>
      </c>
      <c r="AN6" s="12">
        <f t="shared" ref="AN6:AN16" si="8">SUM(AI6:AM6)</f>
        <v>47250</v>
      </c>
      <c r="AO6" s="12">
        <f t="shared" ref="AO6:AO16" si="9">AN6/30</f>
        <v>1575</v>
      </c>
      <c r="AP6" s="12">
        <f t="shared" ref="AP6:AP16" si="10">AO6*AH6</f>
        <v>37800</v>
      </c>
      <c r="AQ6" s="12">
        <f>AP6*$AI$20</f>
        <v>4536</v>
      </c>
      <c r="AR6" s="12">
        <f t="shared" ref="AR6:AS16" si="11">AP6*1.75%</f>
        <v>661.50000000000011</v>
      </c>
      <c r="AS6" s="10">
        <f t="shared" ref="AS6:AS16" si="12">AP6-AQ6-AR6</f>
        <v>32602.5</v>
      </c>
    </row>
    <row r="7" spans="2:45" ht="15.75" x14ac:dyDescent="0.25">
      <c r="B7" s="13" t="s">
        <v>24</v>
      </c>
      <c r="C7" s="6" t="s">
        <v>25</v>
      </c>
      <c r="D7" s="14" t="s">
        <v>26</v>
      </c>
      <c r="E7" s="22" t="s">
        <v>18</v>
      </c>
      <c r="F7" s="21" t="s">
        <v>19</v>
      </c>
      <c r="G7" s="21" t="s">
        <v>19</v>
      </c>
      <c r="H7" s="21" t="s">
        <v>19</v>
      </c>
      <c r="I7" s="21" t="s">
        <v>19</v>
      </c>
      <c r="J7" s="21" t="s">
        <v>19</v>
      </c>
      <c r="K7" s="21" t="s">
        <v>20</v>
      </c>
      <c r="L7" s="22" t="s">
        <v>18</v>
      </c>
      <c r="M7" s="21" t="s">
        <v>19</v>
      </c>
      <c r="N7" s="21" t="s">
        <v>19</v>
      </c>
      <c r="O7" s="21" t="s">
        <v>19</v>
      </c>
      <c r="P7" s="21" t="s">
        <v>19</v>
      </c>
      <c r="Q7" s="21" t="s">
        <v>19</v>
      </c>
      <c r="R7" s="21" t="s">
        <v>19</v>
      </c>
      <c r="S7" s="22" t="s">
        <v>18</v>
      </c>
      <c r="T7" s="21" t="s">
        <v>19</v>
      </c>
      <c r="U7" s="21" t="s">
        <v>19</v>
      </c>
      <c r="V7" s="21" t="s">
        <v>19</v>
      </c>
      <c r="W7" s="21" t="s">
        <v>20</v>
      </c>
      <c r="X7" s="21" t="s">
        <v>19</v>
      </c>
      <c r="Y7" s="21" t="s">
        <v>19</v>
      </c>
      <c r="Z7" s="22" t="s">
        <v>18</v>
      </c>
      <c r="AA7" s="21" t="s">
        <v>19</v>
      </c>
      <c r="AB7" s="21" t="s">
        <v>19</v>
      </c>
      <c r="AC7" s="21" t="s">
        <v>19</v>
      </c>
      <c r="AD7" s="21" t="s">
        <v>20</v>
      </c>
      <c r="AE7" s="11">
        <f t="shared" si="1"/>
        <v>3</v>
      </c>
      <c r="AF7" s="11">
        <f t="shared" si="2"/>
        <v>19</v>
      </c>
      <c r="AG7" s="11">
        <f t="shared" si="3"/>
        <v>4</v>
      </c>
      <c r="AH7" s="11">
        <f t="shared" si="4"/>
        <v>23</v>
      </c>
      <c r="AI7" s="12">
        <v>20000</v>
      </c>
      <c r="AJ7" s="12">
        <f t="shared" si="5"/>
        <v>2400</v>
      </c>
      <c r="AK7" s="12">
        <f t="shared" si="6"/>
        <v>2200</v>
      </c>
      <c r="AL7" s="12">
        <f t="shared" si="7"/>
        <v>1600</v>
      </c>
      <c r="AM7" s="12">
        <f>AI7*$AI$19</f>
        <v>800</v>
      </c>
      <c r="AN7" s="12">
        <f t="shared" si="8"/>
        <v>27000</v>
      </c>
      <c r="AO7" s="12">
        <f t="shared" si="9"/>
        <v>900</v>
      </c>
      <c r="AP7" s="12">
        <f t="shared" si="10"/>
        <v>20700</v>
      </c>
      <c r="AQ7" s="12">
        <f>AP7*$AI$20</f>
        <v>2484</v>
      </c>
      <c r="AR7" s="12">
        <f t="shared" si="11"/>
        <v>362.25000000000006</v>
      </c>
      <c r="AS7" s="10">
        <f t="shared" si="12"/>
        <v>17853.75</v>
      </c>
    </row>
    <row r="8" spans="2:45" ht="15.75" x14ac:dyDescent="0.25">
      <c r="B8" s="13" t="s">
        <v>27</v>
      </c>
      <c r="C8" s="6" t="s">
        <v>28</v>
      </c>
      <c r="D8" s="14" t="s">
        <v>26</v>
      </c>
      <c r="E8" s="22" t="s">
        <v>18</v>
      </c>
      <c r="F8" s="21" t="s">
        <v>20</v>
      </c>
      <c r="G8" s="21" t="s">
        <v>20</v>
      </c>
      <c r="H8" s="21" t="s">
        <v>20</v>
      </c>
      <c r="I8" s="21" t="s">
        <v>19</v>
      </c>
      <c r="J8" s="21" t="s">
        <v>19</v>
      </c>
      <c r="K8" s="21" t="s">
        <v>19</v>
      </c>
      <c r="L8" s="22" t="s">
        <v>18</v>
      </c>
      <c r="M8" s="21" t="s">
        <v>19</v>
      </c>
      <c r="N8" s="21" t="s">
        <v>19</v>
      </c>
      <c r="O8" s="21" t="s">
        <v>19</v>
      </c>
      <c r="P8" s="21" t="s">
        <v>20</v>
      </c>
      <c r="Q8" s="21" t="s">
        <v>19</v>
      </c>
      <c r="R8" s="21" t="s">
        <v>19</v>
      </c>
      <c r="S8" s="22" t="s">
        <v>18</v>
      </c>
      <c r="T8" s="21" t="s">
        <v>19</v>
      </c>
      <c r="U8" s="21" t="s">
        <v>19</v>
      </c>
      <c r="V8" s="21" t="s">
        <v>19</v>
      </c>
      <c r="W8" s="21" t="s">
        <v>19</v>
      </c>
      <c r="X8" s="21" t="s">
        <v>19</v>
      </c>
      <c r="Y8" s="21" t="s">
        <v>19</v>
      </c>
      <c r="Z8" s="22" t="s">
        <v>18</v>
      </c>
      <c r="AA8" s="21" t="s">
        <v>19</v>
      </c>
      <c r="AB8" s="21" t="s">
        <v>19</v>
      </c>
      <c r="AC8" s="21" t="s">
        <v>19</v>
      </c>
      <c r="AD8" s="21" t="s">
        <v>19</v>
      </c>
      <c r="AE8" s="11">
        <f t="shared" si="1"/>
        <v>4</v>
      </c>
      <c r="AF8" s="11">
        <f t="shared" si="2"/>
        <v>18</v>
      </c>
      <c r="AG8" s="11">
        <f t="shared" si="3"/>
        <v>4</v>
      </c>
      <c r="AH8" s="11">
        <f t="shared" si="4"/>
        <v>22</v>
      </c>
      <c r="AI8" s="12">
        <v>20000</v>
      </c>
      <c r="AJ8" s="12">
        <f t="shared" si="5"/>
        <v>2400</v>
      </c>
      <c r="AK8" s="12">
        <f t="shared" si="6"/>
        <v>2200</v>
      </c>
      <c r="AL8" s="12">
        <f t="shared" si="7"/>
        <v>1600</v>
      </c>
      <c r="AM8" s="12">
        <f>AI8*$AI$19</f>
        <v>800</v>
      </c>
      <c r="AN8" s="12">
        <f t="shared" si="8"/>
        <v>27000</v>
      </c>
      <c r="AO8" s="12">
        <f t="shared" si="9"/>
        <v>900</v>
      </c>
      <c r="AP8" s="12">
        <f t="shared" si="10"/>
        <v>19800</v>
      </c>
      <c r="AQ8" s="12">
        <f>AP8*$AI$20</f>
        <v>2376</v>
      </c>
      <c r="AR8" s="12">
        <f t="shared" si="11"/>
        <v>346.50000000000006</v>
      </c>
      <c r="AS8" s="10">
        <f t="shared" si="12"/>
        <v>17077.5</v>
      </c>
    </row>
    <row r="9" spans="2:45" ht="15.75" x14ac:dyDescent="0.25">
      <c r="B9" s="13" t="s">
        <v>29</v>
      </c>
      <c r="C9" s="6" t="s">
        <v>30</v>
      </c>
      <c r="D9" s="14" t="s">
        <v>31</v>
      </c>
      <c r="E9" s="22" t="s">
        <v>18</v>
      </c>
      <c r="F9" s="21" t="s">
        <v>19</v>
      </c>
      <c r="G9" s="21" t="s">
        <v>19</v>
      </c>
      <c r="H9" s="21" t="s">
        <v>19</v>
      </c>
      <c r="I9" s="21" t="s">
        <v>19</v>
      </c>
      <c r="J9" s="21" t="s">
        <v>19</v>
      </c>
      <c r="K9" s="21" t="s">
        <v>19</v>
      </c>
      <c r="L9" s="22" t="s">
        <v>18</v>
      </c>
      <c r="M9" s="21" t="s">
        <v>19</v>
      </c>
      <c r="N9" s="21" t="s">
        <v>19</v>
      </c>
      <c r="O9" s="21" t="s">
        <v>19</v>
      </c>
      <c r="P9" s="21" t="s">
        <v>19</v>
      </c>
      <c r="Q9" s="21" t="s">
        <v>19</v>
      </c>
      <c r="R9" s="21" t="s">
        <v>19</v>
      </c>
      <c r="S9" s="22" t="s">
        <v>18</v>
      </c>
      <c r="T9" s="21" t="s">
        <v>19</v>
      </c>
      <c r="U9" s="21" t="s">
        <v>19</v>
      </c>
      <c r="V9" s="21" t="s">
        <v>19</v>
      </c>
      <c r="W9" s="21" t="s">
        <v>19</v>
      </c>
      <c r="X9" s="21" t="s">
        <v>20</v>
      </c>
      <c r="Y9" s="21" t="s">
        <v>19</v>
      </c>
      <c r="Z9" s="22" t="s">
        <v>18</v>
      </c>
      <c r="AA9" s="21" t="s">
        <v>19</v>
      </c>
      <c r="AB9" s="21" t="s">
        <v>20</v>
      </c>
      <c r="AC9" s="21" t="s">
        <v>19</v>
      </c>
      <c r="AD9" s="21" t="s">
        <v>19</v>
      </c>
      <c r="AE9" s="11">
        <f t="shared" si="1"/>
        <v>2</v>
      </c>
      <c r="AF9" s="11">
        <f t="shared" si="2"/>
        <v>20</v>
      </c>
      <c r="AG9" s="11">
        <f t="shared" si="3"/>
        <v>4</v>
      </c>
      <c r="AH9" s="11">
        <f t="shared" si="4"/>
        <v>24</v>
      </c>
      <c r="AI9" s="12">
        <v>15000</v>
      </c>
      <c r="AJ9" s="12">
        <f t="shared" si="5"/>
        <v>1800</v>
      </c>
      <c r="AK9" s="12">
        <f t="shared" si="6"/>
        <v>1650</v>
      </c>
      <c r="AL9" s="12">
        <f t="shared" si="7"/>
        <v>1200</v>
      </c>
      <c r="AM9" s="12">
        <f>AI9*$AI$19</f>
        <v>600</v>
      </c>
      <c r="AN9" s="12">
        <f t="shared" si="8"/>
        <v>20250</v>
      </c>
      <c r="AO9" s="12">
        <f t="shared" si="9"/>
        <v>675</v>
      </c>
      <c r="AP9" s="12">
        <f t="shared" si="10"/>
        <v>16200</v>
      </c>
      <c r="AQ9" s="12">
        <f>AP9*$AI$20</f>
        <v>1944</v>
      </c>
      <c r="AR9" s="12">
        <f t="shared" si="11"/>
        <v>283.5</v>
      </c>
      <c r="AS9" s="10">
        <f t="shared" si="12"/>
        <v>13972.5</v>
      </c>
    </row>
    <row r="10" spans="2:45" ht="15.75" x14ac:dyDescent="0.25">
      <c r="B10" s="13" t="s">
        <v>32</v>
      </c>
      <c r="C10" s="6" t="s">
        <v>33</v>
      </c>
      <c r="D10" s="14" t="s">
        <v>31</v>
      </c>
      <c r="E10" s="22" t="s">
        <v>18</v>
      </c>
      <c r="F10" s="21" t="s">
        <v>19</v>
      </c>
      <c r="G10" s="21" t="s">
        <v>19</v>
      </c>
      <c r="H10" s="21" t="s">
        <v>20</v>
      </c>
      <c r="I10" s="21" t="s">
        <v>19</v>
      </c>
      <c r="J10" s="21" t="s">
        <v>19</v>
      </c>
      <c r="K10" s="21" t="s">
        <v>19</v>
      </c>
      <c r="L10" s="22" t="s">
        <v>18</v>
      </c>
      <c r="M10" s="21" t="s">
        <v>19</v>
      </c>
      <c r="N10" s="21" t="s">
        <v>19</v>
      </c>
      <c r="O10" s="21" t="s">
        <v>19</v>
      </c>
      <c r="P10" s="21" t="s">
        <v>19</v>
      </c>
      <c r="Q10" s="21" t="s">
        <v>19</v>
      </c>
      <c r="R10" s="21" t="s">
        <v>19</v>
      </c>
      <c r="S10" s="22" t="s">
        <v>18</v>
      </c>
      <c r="T10" s="21" t="s">
        <v>19</v>
      </c>
      <c r="U10" s="21" t="s">
        <v>20</v>
      </c>
      <c r="V10" s="21" t="s">
        <v>19</v>
      </c>
      <c r="W10" s="21" t="s">
        <v>19</v>
      </c>
      <c r="X10" s="21" t="s">
        <v>19</v>
      </c>
      <c r="Y10" s="21" t="s">
        <v>19</v>
      </c>
      <c r="Z10" s="22" t="s">
        <v>18</v>
      </c>
      <c r="AA10" s="21" t="s">
        <v>20</v>
      </c>
      <c r="AB10" s="21" t="s">
        <v>19</v>
      </c>
      <c r="AC10" s="21" t="s">
        <v>19</v>
      </c>
      <c r="AD10" s="21" t="s">
        <v>19</v>
      </c>
      <c r="AE10" s="11">
        <f t="shared" si="1"/>
        <v>3</v>
      </c>
      <c r="AF10" s="11">
        <f t="shared" si="2"/>
        <v>19</v>
      </c>
      <c r="AG10" s="11">
        <f t="shared" si="3"/>
        <v>4</v>
      </c>
      <c r="AH10" s="11">
        <f t="shared" si="4"/>
        <v>23</v>
      </c>
      <c r="AI10" s="12">
        <v>15000</v>
      </c>
      <c r="AJ10" s="12">
        <f t="shared" si="5"/>
        <v>1800</v>
      </c>
      <c r="AK10" s="12">
        <f t="shared" si="6"/>
        <v>1650</v>
      </c>
      <c r="AL10" s="12">
        <f t="shared" si="7"/>
        <v>1200</v>
      </c>
      <c r="AM10" s="12">
        <f>AI10*$AI$19</f>
        <v>600</v>
      </c>
      <c r="AN10" s="12">
        <f t="shared" si="8"/>
        <v>20250</v>
      </c>
      <c r="AO10" s="12">
        <f t="shared" si="9"/>
        <v>675</v>
      </c>
      <c r="AP10" s="12">
        <f t="shared" si="10"/>
        <v>15525</v>
      </c>
      <c r="AQ10" s="12">
        <f>AP10*$AI$20</f>
        <v>1863</v>
      </c>
      <c r="AR10" s="12">
        <f t="shared" si="11"/>
        <v>271.6875</v>
      </c>
      <c r="AS10" s="10">
        <f t="shared" si="12"/>
        <v>13390.3125</v>
      </c>
    </row>
    <row r="11" spans="2:45" ht="15.75" x14ac:dyDescent="0.25">
      <c r="B11" s="13" t="s">
        <v>34</v>
      </c>
      <c r="C11" s="6" t="s">
        <v>35</v>
      </c>
      <c r="D11" s="14" t="s">
        <v>36</v>
      </c>
      <c r="E11" s="22" t="s">
        <v>18</v>
      </c>
      <c r="F11" s="21" t="s">
        <v>19</v>
      </c>
      <c r="G11" s="21" t="s">
        <v>19</v>
      </c>
      <c r="H11" s="21" t="s">
        <v>19</v>
      </c>
      <c r="I11" s="21" t="s">
        <v>19</v>
      </c>
      <c r="J11" s="21" t="s">
        <v>20</v>
      </c>
      <c r="K11" s="21" t="s">
        <v>20</v>
      </c>
      <c r="L11" s="22" t="s">
        <v>18</v>
      </c>
      <c r="M11" s="21" t="s">
        <v>19</v>
      </c>
      <c r="N11" s="21" t="s">
        <v>19</v>
      </c>
      <c r="O11" s="21" t="s">
        <v>19</v>
      </c>
      <c r="P11" s="21" t="s">
        <v>19</v>
      </c>
      <c r="Q11" s="21" t="s">
        <v>20</v>
      </c>
      <c r="R11" s="21" t="s">
        <v>19</v>
      </c>
      <c r="S11" s="22" t="s">
        <v>18</v>
      </c>
      <c r="T11" s="21" t="s">
        <v>19</v>
      </c>
      <c r="U11" s="21" t="s">
        <v>19</v>
      </c>
      <c r="V11" s="21" t="s">
        <v>19</v>
      </c>
      <c r="W11" s="21" t="s">
        <v>19</v>
      </c>
      <c r="X11" s="21" t="s">
        <v>19</v>
      </c>
      <c r="Y11" s="21" t="s">
        <v>20</v>
      </c>
      <c r="Z11" s="22" t="s">
        <v>18</v>
      </c>
      <c r="AA11" s="21" t="s">
        <v>19</v>
      </c>
      <c r="AB11" s="21" t="s">
        <v>19</v>
      </c>
      <c r="AC11" s="21" t="s">
        <v>19</v>
      </c>
      <c r="AD11" s="21" t="s">
        <v>19</v>
      </c>
      <c r="AE11" s="11">
        <f t="shared" si="1"/>
        <v>4</v>
      </c>
      <c r="AF11" s="11">
        <f t="shared" si="2"/>
        <v>18</v>
      </c>
      <c r="AG11" s="11">
        <f t="shared" si="3"/>
        <v>4</v>
      </c>
      <c r="AH11" s="11">
        <f t="shared" si="4"/>
        <v>22</v>
      </c>
      <c r="AI11" s="12">
        <v>18000</v>
      </c>
      <c r="AJ11" s="12">
        <f t="shared" si="5"/>
        <v>2160</v>
      </c>
      <c r="AK11" s="12">
        <f t="shared" si="6"/>
        <v>1980</v>
      </c>
      <c r="AL11" s="12">
        <f t="shared" si="7"/>
        <v>1440</v>
      </c>
      <c r="AM11" s="12">
        <f>AI11*$AI$19</f>
        <v>720</v>
      </c>
      <c r="AN11" s="12">
        <f t="shared" si="8"/>
        <v>24300</v>
      </c>
      <c r="AO11" s="12">
        <f t="shared" si="9"/>
        <v>810</v>
      </c>
      <c r="AP11" s="12">
        <f t="shared" si="10"/>
        <v>17820</v>
      </c>
      <c r="AQ11" s="12">
        <f>AP11*$AI$20</f>
        <v>2138.4</v>
      </c>
      <c r="AR11" s="12">
        <f t="shared" si="11"/>
        <v>311.85000000000002</v>
      </c>
      <c r="AS11" s="10">
        <f t="shared" si="12"/>
        <v>15369.75</v>
      </c>
    </row>
    <row r="12" spans="2:45" ht="15.75" x14ac:dyDescent="0.25">
      <c r="B12" s="13" t="s">
        <v>37</v>
      </c>
      <c r="C12" s="6" t="s">
        <v>38</v>
      </c>
      <c r="D12" s="14" t="s">
        <v>39</v>
      </c>
      <c r="E12" s="22" t="s">
        <v>18</v>
      </c>
      <c r="F12" s="21" t="s">
        <v>20</v>
      </c>
      <c r="G12" s="21" t="s">
        <v>20</v>
      </c>
      <c r="H12" s="21" t="s">
        <v>20</v>
      </c>
      <c r="I12" s="21" t="s">
        <v>19</v>
      </c>
      <c r="J12" s="21" t="s">
        <v>19</v>
      </c>
      <c r="K12" s="21" t="s">
        <v>19</v>
      </c>
      <c r="L12" s="22" t="s">
        <v>18</v>
      </c>
      <c r="M12" s="21" t="s">
        <v>19</v>
      </c>
      <c r="N12" s="21" t="s">
        <v>19</v>
      </c>
      <c r="O12" s="21" t="s">
        <v>19</v>
      </c>
      <c r="P12" s="21" t="s">
        <v>19</v>
      </c>
      <c r="Q12" s="21" t="s">
        <v>19</v>
      </c>
      <c r="R12" s="21" t="s">
        <v>19</v>
      </c>
      <c r="S12" s="22" t="s">
        <v>18</v>
      </c>
      <c r="T12" s="21" t="s">
        <v>19</v>
      </c>
      <c r="U12" s="21" t="s">
        <v>19</v>
      </c>
      <c r="V12" s="21" t="s">
        <v>19</v>
      </c>
      <c r="W12" s="21" t="s">
        <v>19</v>
      </c>
      <c r="X12" s="21" t="s">
        <v>19</v>
      </c>
      <c r="Y12" s="21" t="s">
        <v>19</v>
      </c>
      <c r="Z12" s="22" t="s">
        <v>18</v>
      </c>
      <c r="AA12" s="21" t="s">
        <v>19</v>
      </c>
      <c r="AB12" s="21" t="s">
        <v>19</v>
      </c>
      <c r="AC12" s="21" t="s">
        <v>19</v>
      </c>
      <c r="AD12" s="21" t="s">
        <v>19</v>
      </c>
      <c r="AE12" s="11">
        <f t="shared" si="1"/>
        <v>3</v>
      </c>
      <c r="AF12" s="11">
        <f t="shared" si="2"/>
        <v>19</v>
      </c>
      <c r="AG12" s="11">
        <f t="shared" si="3"/>
        <v>4</v>
      </c>
      <c r="AH12" s="11">
        <f t="shared" si="4"/>
        <v>23</v>
      </c>
      <c r="AI12" s="12">
        <v>25000</v>
      </c>
      <c r="AJ12" s="12">
        <f t="shared" si="5"/>
        <v>3000</v>
      </c>
      <c r="AK12" s="12">
        <f t="shared" si="6"/>
        <v>2750</v>
      </c>
      <c r="AL12" s="12">
        <f t="shared" si="7"/>
        <v>2000</v>
      </c>
      <c r="AM12" s="12">
        <f>AI12*$AI$19</f>
        <v>1000</v>
      </c>
      <c r="AN12" s="12">
        <f t="shared" si="8"/>
        <v>33750</v>
      </c>
      <c r="AO12" s="12">
        <f t="shared" si="9"/>
        <v>1125</v>
      </c>
      <c r="AP12" s="12">
        <f t="shared" si="10"/>
        <v>25875</v>
      </c>
      <c r="AQ12" s="12">
        <f>AP12*$AI$20</f>
        <v>3105</v>
      </c>
      <c r="AR12" s="12">
        <f t="shared" si="11"/>
        <v>452.81250000000006</v>
      </c>
      <c r="AS12" s="10">
        <f t="shared" si="12"/>
        <v>22317.1875</v>
      </c>
    </row>
    <row r="13" spans="2:45" ht="15.75" x14ac:dyDescent="0.25">
      <c r="B13" s="13" t="s">
        <v>40</v>
      </c>
      <c r="C13" s="6" t="s">
        <v>41</v>
      </c>
      <c r="D13" s="14" t="s">
        <v>42</v>
      </c>
      <c r="E13" s="22" t="s">
        <v>18</v>
      </c>
      <c r="F13" s="21" t="s">
        <v>19</v>
      </c>
      <c r="G13" s="21" t="s">
        <v>19</v>
      </c>
      <c r="H13" s="21" t="s">
        <v>19</v>
      </c>
      <c r="I13" s="21" t="s">
        <v>19</v>
      </c>
      <c r="J13" s="21" t="s">
        <v>19</v>
      </c>
      <c r="K13" s="21" t="s">
        <v>19</v>
      </c>
      <c r="L13" s="22" t="s">
        <v>18</v>
      </c>
      <c r="M13" s="21" t="s">
        <v>19</v>
      </c>
      <c r="N13" s="21" t="s">
        <v>19</v>
      </c>
      <c r="O13" s="21" t="s">
        <v>19</v>
      </c>
      <c r="P13" s="21" t="s">
        <v>20</v>
      </c>
      <c r="Q13" s="21" t="s">
        <v>19</v>
      </c>
      <c r="R13" s="21" t="s">
        <v>19</v>
      </c>
      <c r="S13" s="22" t="s">
        <v>18</v>
      </c>
      <c r="T13" s="21" t="s">
        <v>19</v>
      </c>
      <c r="U13" s="21" t="s">
        <v>19</v>
      </c>
      <c r="V13" s="21" t="s">
        <v>20</v>
      </c>
      <c r="W13" s="21" t="s">
        <v>19</v>
      </c>
      <c r="X13" s="21" t="s">
        <v>19</v>
      </c>
      <c r="Y13" s="21" t="s">
        <v>19</v>
      </c>
      <c r="Z13" s="22" t="s">
        <v>18</v>
      </c>
      <c r="AA13" s="21" t="s">
        <v>19</v>
      </c>
      <c r="AB13" s="21" t="s">
        <v>19</v>
      </c>
      <c r="AC13" s="21" t="s">
        <v>19</v>
      </c>
      <c r="AD13" s="21" t="s">
        <v>20</v>
      </c>
      <c r="AE13" s="11">
        <f t="shared" si="1"/>
        <v>3</v>
      </c>
      <c r="AF13" s="11">
        <f t="shared" si="2"/>
        <v>19</v>
      </c>
      <c r="AG13" s="11">
        <f t="shared" si="3"/>
        <v>4</v>
      </c>
      <c r="AH13" s="11">
        <f t="shared" si="4"/>
        <v>23</v>
      </c>
      <c r="AI13" s="12">
        <v>10000</v>
      </c>
      <c r="AJ13" s="12">
        <f t="shared" si="5"/>
        <v>1200</v>
      </c>
      <c r="AK13" s="12">
        <f t="shared" si="6"/>
        <v>1100</v>
      </c>
      <c r="AL13" s="12">
        <f t="shared" si="7"/>
        <v>800</v>
      </c>
      <c r="AM13" s="12">
        <f>AI13*$AI$19</f>
        <v>400</v>
      </c>
      <c r="AN13" s="12">
        <f t="shared" si="8"/>
        <v>13500</v>
      </c>
      <c r="AO13" s="12">
        <f t="shared" si="9"/>
        <v>450</v>
      </c>
      <c r="AP13" s="12">
        <f t="shared" si="10"/>
        <v>10350</v>
      </c>
      <c r="AQ13" s="12">
        <f>AP13*$AI$20</f>
        <v>1242</v>
      </c>
      <c r="AR13" s="12">
        <f t="shared" si="11"/>
        <v>181.12500000000003</v>
      </c>
      <c r="AS13" s="10">
        <f t="shared" si="12"/>
        <v>8926.875</v>
      </c>
    </row>
    <row r="14" spans="2:45" ht="15.75" x14ac:dyDescent="0.25">
      <c r="B14" s="13" t="s">
        <v>43</v>
      </c>
      <c r="C14" s="7" t="s">
        <v>30</v>
      </c>
      <c r="D14" s="14" t="s">
        <v>44</v>
      </c>
      <c r="E14" s="22" t="s">
        <v>18</v>
      </c>
      <c r="F14" s="21" t="s">
        <v>20</v>
      </c>
      <c r="G14" s="21" t="s">
        <v>20</v>
      </c>
      <c r="H14" s="21" t="s">
        <v>20</v>
      </c>
      <c r="I14" s="21" t="s">
        <v>19</v>
      </c>
      <c r="J14" s="21" t="s">
        <v>19</v>
      </c>
      <c r="K14" s="21" t="s">
        <v>19</v>
      </c>
      <c r="L14" s="22" t="s">
        <v>18</v>
      </c>
      <c r="M14" s="21" t="s">
        <v>19</v>
      </c>
      <c r="N14" s="21" t="s">
        <v>19</v>
      </c>
      <c r="O14" s="21" t="s">
        <v>19</v>
      </c>
      <c r="P14" s="21" t="s">
        <v>19</v>
      </c>
      <c r="Q14" s="21" t="s">
        <v>19</v>
      </c>
      <c r="R14" s="21" t="s">
        <v>19</v>
      </c>
      <c r="S14" s="22" t="s">
        <v>18</v>
      </c>
      <c r="T14" s="21" t="s">
        <v>19</v>
      </c>
      <c r="U14" s="21" t="s">
        <v>19</v>
      </c>
      <c r="V14" s="21" t="s">
        <v>19</v>
      </c>
      <c r="W14" s="21" t="s">
        <v>19</v>
      </c>
      <c r="X14" s="21" t="s">
        <v>19</v>
      </c>
      <c r="Y14" s="21" t="s">
        <v>19</v>
      </c>
      <c r="Z14" s="22" t="s">
        <v>18</v>
      </c>
      <c r="AA14" s="21" t="s">
        <v>19</v>
      </c>
      <c r="AB14" s="21" t="s">
        <v>20</v>
      </c>
      <c r="AC14" s="21" t="s">
        <v>19</v>
      </c>
      <c r="AD14" s="21" t="s">
        <v>19</v>
      </c>
      <c r="AE14" s="11">
        <f t="shared" si="1"/>
        <v>4</v>
      </c>
      <c r="AF14" s="11">
        <f t="shared" si="2"/>
        <v>18</v>
      </c>
      <c r="AG14" s="11">
        <f t="shared" si="3"/>
        <v>4</v>
      </c>
      <c r="AH14" s="11">
        <f t="shared" si="4"/>
        <v>22</v>
      </c>
      <c r="AI14" s="12">
        <v>10000</v>
      </c>
      <c r="AJ14" s="12">
        <f t="shared" si="5"/>
        <v>1200</v>
      </c>
      <c r="AK14" s="12">
        <f t="shared" si="6"/>
        <v>1100</v>
      </c>
      <c r="AL14" s="12">
        <f t="shared" si="7"/>
        <v>800</v>
      </c>
      <c r="AM14" s="12">
        <f>AI14*$AI$19</f>
        <v>400</v>
      </c>
      <c r="AN14" s="12">
        <f t="shared" si="8"/>
        <v>13500</v>
      </c>
      <c r="AO14" s="12">
        <f t="shared" si="9"/>
        <v>450</v>
      </c>
      <c r="AP14" s="12">
        <f t="shared" si="10"/>
        <v>9900</v>
      </c>
      <c r="AQ14" s="12">
        <f>AP14*$AI$20</f>
        <v>1188</v>
      </c>
      <c r="AR14" s="12">
        <f t="shared" si="11"/>
        <v>173.25000000000003</v>
      </c>
      <c r="AS14" s="10">
        <f t="shared" si="12"/>
        <v>8538.75</v>
      </c>
    </row>
    <row r="15" spans="2:45" ht="15.75" x14ac:dyDescent="0.25">
      <c r="B15" s="13" t="s">
        <v>45</v>
      </c>
      <c r="C15" s="7" t="s">
        <v>33</v>
      </c>
      <c r="D15" s="14" t="s">
        <v>36</v>
      </c>
      <c r="E15" s="22" t="s">
        <v>18</v>
      </c>
      <c r="F15" s="21" t="s">
        <v>19</v>
      </c>
      <c r="G15" s="21" t="s">
        <v>19</v>
      </c>
      <c r="H15" s="21" t="s">
        <v>19</v>
      </c>
      <c r="I15" s="21" t="s">
        <v>19</v>
      </c>
      <c r="J15" s="21" t="s">
        <v>19</v>
      </c>
      <c r="K15" s="21" t="s">
        <v>19</v>
      </c>
      <c r="L15" s="22" t="s">
        <v>18</v>
      </c>
      <c r="M15" s="21" t="s">
        <v>19</v>
      </c>
      <c r="N15" s="21" t="s">
        <v>19</v>
      </c>
      <c r="O15" s="21" t="s">
        <v>20</v>
      </c>
      <c r="P15" s="21" t="s">
        <v>19</v>
      </c>
      <c r="Q15" s="21" t="s">
        <v>19</v>
      </c>
      <c r="R15" s="21" t="s">
        <v>19</v>
      </c>
      <c r="S15" s="22" t="s">
        <v>18</v>
      </c>
      <c r="T15" s="21" t="s">
        <v>19</v>
      </c>
      <c r="U15" s="21" t="s">
        <v>20</v>
      </c>
      <c r="V15" s="21" t="s">
        <v>19</v>
      </c>
      <c r="W15" s="21" t="s">
        <v>19</v>
      </c>
      <c r="X15" s="21" t="s">
        <v>19</v>
      </c>
      <c r="Y15" s="21" t="s">
        <v>19</v>
      </c>
      <c r="Z15" s="22" t="s">
        <v>18</v>
      </c>
      <c r="AA15" s="21" t="s">
        <v>19</v>
      </c>
      <c r="AB15" s="21" t="s">
        <v>19</v>
      </c>
      <c r="AC15" s="21" t="s">
        <v>19</v>
      </c>
      <c r="AD15" s="21" t="s">
        <v>19</v>
      </c>
      <c r="AE15" s="11">
        <f t="shared" si="1"/>
        <v>2</v>
      </c>
      <c r="AF15" s="11">
        <f t="shared" si="2"/>
        <v>20</v>
      </c>
      <c r="AG15" s="11">
        <f t="shared" si="3"/>
        <v>4</v>
      </c>
      <c r="AH15" s="11">
        <f t="shared" si="4"/>
        <v>24</v>
      </c>
      <c r="AI15" s="12">
        <v>18000</v>
      </c>
      <c r="AJ15" s="12">
        <f t="shared" si="5"/>
        <v>2160</v>
      </c>
      <c r="AK15" s="12">
        <f t="shared" si="6"/>
        <v>1980</v>
      </c>
      <c r="AL15" s="12">
        <f t="shared" si="7"/>
        <v>1440</v>
      </c>
      <c r="AM15" s="12">
        <f>AI15*$AI$19</f>
        <v>720</v>
      </c>
      <c r="AN15" s="12">
        <f t="shared" si="8"/>
        <v>24300</v>
      </c>
      <c r="AO15" s="12">
        <f t="shared" si="9"/>
        <v>810</v>
      </c>
      <c r="AP15" s="12">
        <f t="shared" si="10"/>
        <v>19440</v>
      </c>
      <c r="AQ15" s="12">
        <f>AP15*$AI$20</f>
        <v>2332.7999999999997</v>
      </c>
      <c r="AR15" s="12">
        <f t="shared" si="11"/>
        <v>340.20000000000005</v>
      </c>
      <c r="AS15" s="10">
        <f t="shared" si="12"/>
        <v>16767</v>
      </c>
    </row>
    <row r="16" spans="2:45" ht="15.75" x14ac:dyDescent="0.25">
      <c r="B16" s="13" t="s">
        <v>46</v>
      </c>
      <c r="C16" s="7" t="s">
        <v>35</v>
      </c>
      <c r="D16" s="14" t="s">
        <v>44</v>
      </c>
      <c r="E16" s="22" t="s">
        <v>18</v>
      </c>
      <c r="F16" s="21" t="s">
        <v>19</v>
      </c>
      <c r="G16" s="21" t="s">
        <v>19</v>
      </c>
      <c r="H16" s="21" t="s">
        <v>19</v>
      </c>
      <c r="I16" s="21" t="s">
        <v>19</v>
      </c>
      <c r="J16" s="21" t="s">
        <v>19</v>
      </c>
      <c r="K16" s="21" t="s">
        <v>19</v>
      </c>
      <c r="L16" s="22" t="s">
        <v>18</v>
      </c>
      <c r="M16" s="21" t="s">
        <v>19</v>
      </c>
      <c r="N16" s="21" t="s">
        <v>19</v>
      </c>
      <c r="O16" s="21" t="s">
        <v>19</v>
      </c>
      <c r="P16" s="21" t="s">
        <v>19</v>
      </c>
      <c r="Q16" s="21" t="s">
        <v>19</v>
      </c>
      <c r="R16" s="21" t="s">
        <v>19</v>
      </c>
      <c r="S16" s="22" t="s">
        <v>18</v>
      </c>
      <c r="T16" s="21" t="s">
        <v>19</v>
      </c>
      <c r="U16" s="21" t="s">
        <v>19</v>
      </c>
      <c r="V16" s="21" t="s">
        <v>19</v>
      </c>
      <c r="W16" s="21" t="s">
        <v>19</v>
      </c>
      <c r="X16" s="21" t="s">
        <v>19</v>
      </c>
      <c r="Y16" s="21" t="s">
        <v>19</v>
      </c>
      <c r="Z16" s="22" t="s">
        <v>18</v>
      </c>
      <c r="AA16" s="21" t="s">
        <v>19</v>
      </c>
      <c r="AB16" s="21" t="s">
        <v>19</v>
      </c>
      <c r="AC16" s="21" t="s">
        <v>19</v>
      </c>
      <c r="AD16" s="21" t="s">
        <v>20</v>
      </c>
      <c r="AE16" s="11">
        <f t="shared" si="1"/>
        <v>1</v>
      </c>
      <c r="AF16" s="11">
        <f t="shared" si="2"/>
        <v>21</v>
      </c>
      <c r="AG16" s="11">
        <f t="shared" si="3"/>
        <v>4</v>
      </c>
      <c r="AH16" s="11">
        <f t="shared" si="4"/>
        <v>25</v>
      </c>
      <c r="AI16" s="12">
        <v>10000</v>
      </c>
      <c r="AJ16" s="12">
        <f t="shared" si="5"/>
        <v>1200</v>
      </c>
      <c r="AK16" s="12">
        <f t="shared" si="6"/>
        <v>1100</v>
      </c>
      <c r="AL16" s="12">
        <f t="shared" si="7"/>
        <v>800</v>
      </c>
      <c r="AM16" s="12">
        <f>AI16*$AI$19</f>
        <v>400</v>
      </c>
      <c r="AN16" s="12">
        <f t="shared" si="8"/>
        <v>13500</v>
      </c>
      <c r="AO16" s="12">
        <f t="shared" si="9"/>
        <v>450</v>
      </c>
      <c r="AP16" s="12">
        <f t="shared" si="10"/>
        <v>11250</v>
      </c>
      <c r="AQ16" s="12">
        <f>AP16*$AI$20</f>
        <v>1350</v>
      </c>
      <c r="AR16" s="12">
        <f t="shared" si="11"/>
        <v>196.87500000000003</v>
      </c>
      <c r="AS16" s="10">
        <f t="shared" si="12"/>
        <v>9703.125</v>
      </c>
    </row>
    <row r="18" spans="3:35" ht="15" customHeight="1" x14ac:dyDescent="0.25"/>
    <row r="19" spans="3:35" ht="15.75" x14ac:dyDescent="0.25">
      <c r="C19" s="20" t="s">
        <v>52</v>
      </c>
      <c r="D19" s="20"/>
      <c r="E19" s="20"/>
      <c r="F19" s="20"/>
      <c r="G19" s="20"/>
      <c r="AF19" s="1" t="s">
        <v>11</v>
      </c>
      <c r="AG19" s="26">
        <v>0.12</v>
      </c>
      <c r="AH19" s="1" t="s">
        <v>14</v>
      </c>
      <c r="AI19" s="26">
        <v>0.04</v>
      </c>
    </row>
    <row r="20" spans="3:35" ht="15.75" thickBot="1" x14ac:dyDescent="0.3">
      <c r="C20" s="17" t="s">
        <v>0</v>
      </c>
      <c r="D20" s="17" t="s">
        <v>1</v>
      </c>
      <c r="E20" s="17" t="s">
        <v>2</v>
      </c>
      <c r="F20" s="25" t="s">
        <v>51</v>
      </c>
      <c r="G20" s="25"/>
      <c r="AF20" s="1" t="s">
        <v>12</v>
      </c>
      <c r="AG20" s="26">
        <v>0.11</v>
      </c>
      <c r="AH20" s="1" t="s">
        <v>47</v>
      </c>
      <c r="AI20" s="26">
        <v>0.12</v>
      </c>
    </row>
    <row r="21" spans="3:35" ht="15.75" x14ac:dyDescent="0.25">
      <c r="C21" s="18" t="s">
        <v>15</v>
      </c>
      <c r="D21" s="18" t="str">
        <f>VLOOKUP($C21,$B$5:$AS$16,2,FALSE)</f>
        <v>Aman</v>
      </c>
      <c r="E21" s="18" t="str">
        <f>VLOOKUP($C21,$B$5:$AS$16,3,FALSE)</f>
        <v>Manager</v>
      </c>
      <c r="F21" s="19">
        <f>VLOOKUP($C21,$B$5:$AS$16,44,FALSE)</f>
        <v>34155</v>
      </c>
      <c r="G21" s="18"/>
      <c r="AF21" s="1" t="s">
        <v>13</v>
      </c>
      <c r="AG21" s="26">
        <v>0.08</v>
      </c>
      <c r="AH21" s="1" t="s">
        <v>48</v>
      </c>
      <c r="AI21" s="26">
        <v>0.09</v>
      </c>
    </row>
  </sheetData>
  <mergeCells count="20">
    <mergeCell ref="C19:G19"/>
    <mergeCell ref="F20:G20"/>
    <mergeCell ref="AN3:AN4"/>
    <mergeCell ref="AJ3:AJ4"/>
    <mergeCell ref="AK3:AK4"/>
    <mergeCell ref="AL3:AL4"/>
    <mergeCell ref="AM3:AM4"/>
    <mergeCell ref="AS3:AS4"/>
    <mergeCell ref="AH3:AH4"/>
    <mergeCell ref="AI3:AI4"/>
    <mergeCell ref="AO3:AO4"/>
    <mergeCell ref="AP3:AP4"/>
    <mergeCell ref="AQ3:AQ4"/>
    <mergeCell ref="AR3:AR4"/>
    <mergeCell ref="B3:B4"/>
    <mergeCell ref="C3:C4"/>
    <mergeCell ref="D3:D4"/>
    <mergeCell ref="AE3:AE4"/>
    <mergeCell ref="AF3:AF4"/>
    <mergeCell ref="AG3:AG4"/>
  </mergeCells>
  <conditionalFormatting sqref="F5:AD16">
    <cfRule type="containsText" dxfId="2" priority="4" operator="containsText" text="P">
      <formula>NOT(ISERROR(SEARCH("P",F5)))</formula>
    </cfRule>
    <cfRule type="containsText" dxfId="1" priority="5" operator="containsText" text="A">
      <formula>NOT(ISERROR(SEARCH("A",F5)))</formula>
    </cfRule>
    <cfRule type="containsText" dxfId="0" priority="6" operator="containsText" text="P">
      <formula>NOT(ISERROR(SEARCH("P",F5)))</formula>
    </cfRule>
  </conditionalFormatting>
  <dataValidations count="2">
    <dataValidation type="list" allowBlank="1" showInputMessage="1" showErrorMessage="1" sqref="E5:AD16" xr:uid="{8BF88290-6C3B-4F7A-95D5-6AA00F78E372}">
      <formula1>"P,A,H"</formula1>
    </dataValidation>
    <dataValidation type="list" allowBlank="1" showInputMessage="1" showErrorMessage="1" sqref="C21" xr:uid="{99D58F56-AFB9-434A-9FD6-C7DFDEDD2A87}">
      <formula1>$B$5:$B$16</formula1>
    </dataValidation>
  </dataValidation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</cp:lastModifiedBy>
  <cp:lastPrinted>2026-01-26T14:11:05Z</cp:lastPrinted>
  <dcterms:created xsi:type="dcterms:W3CDTF">2026-01-26T13:31:37Z</dcterms:created>
  <dcterms:modified xsi:type="dcterms:W3CDTF">2026-01-26T14:45:42Z</dcterms:modified>
</cp:coreProperties>
</file>